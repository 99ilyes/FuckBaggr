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lyes/Desktop/"/>
    </mc:Choice>
  </mc:AlternateContent>
  <xr:revisionPtr revIDLastSave="0" documentId="13_ncr:1_{4055ED9E-6112-CB4D-9714-B5897065CC1A}" xr6:coauthVersionLast="47" xr6:coauthVersionMax="47" xr10:uidLastSave="{00000000-0000-0000-0000-000000000000}"/>
  <bookViews>
    <workbookView xWindow="0" yWindow="660" windowWidth="30240" windowHeight="18980" xr2:uid="{B61E6363-43A9-C848-8681-CC26A5B5A7D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" i="1" l="1"/>
  <c r="R14" i="1" s="1"/>
  <c r="G11" i="1"/>
  <c r="Q13" i="1" l="1"/>
  <c r="C5" i="1"/>
  <c r="C6" i="1" s="1"/>
  <c r="C7" i="1" s="1"/>
  <c r="J4" i="1"/>
  <c r="I6" i="1"/>
  <c r="G8" i="1"/>
  <c r="G6" i="1"/>
  <c r="R13" i="1" l="1"/>
  <c r="Q15" i="1"/>
  <c r="T15" i="1" s="1"/>
  <c r="P16" i="1" l="1"/>
  <c r="Q16" i="1" s="1"/>
  <c r="Q17" i="1" s="1"/>
  <c r="R15" i="1"/>
  <c r="G3" i="1" l="1"/>
  <c r="C8" i="1"/>
  <c r="C9" i="1" s="1"/>
  <c r="B10" i="1" s="1"/>
  <c r="C10" i="1" s="1"/>
  <c r="C11" i="1" s="1"/>
  <c r="R16" i="1"/>
  <c r="B8" i="1" l="1"/>
  <c r="C12" i="1"/>
  <c r="C13" i="1" s="1"/>
  <c r="C14" i="1" s="1"/>
  <c r="C15" i="1" s="1"/>
  <c r="B12" i="1" l="1"/>
  <c r="G12" i="1" s="1"/>
  <c r="B17" i="1"/>
  <c r="B18" i="1" l="1"/>
  <c r="G9" i="1" s="1"/>
  <c r="B19" i="1"/>
  <c r="I7" i="1" s="1"/>
  <c r="G13" i="1"/>
  <c r="B20" i="1" l="1"/>
  <c r="G7" i="1" s="1"/>
  <c r="I8" i="1"/>
</calcChain>
</file>

<file path=xl/sharedStrings.xml><?xml version="1.0" encoding="utf-8"?>
<sst xmlns="http://schemas.openxmlformats.org/spreadsheetml/2006/main" count="59" uniqueCount="50">
  <si>
    <t>Crédit</t>
  </si>
  <si>
    <t>Paiement M2</t>
  </si>
  <si>
    <t>Amendes</t>
  </si>
  <si>
    <t>Placement</t>
  </si>
  <si>
    <t>1 ans</t>
  </si>
  <si>
    <t>Fin différé</t>
  </si>
  <si>
    <t>Reste à rembourser</t>
  </si>
  <si>
    <t>Mensualité</t>
  </si>
  <si>
    <t>Taux crédit</t>
  </si>
  <si>
    <t>Taux mensuel</t>
  </si>
  <si>
    <t>Frais scolarité</t>
  </si>
  <si>
    <t>Bénéf TTC</t>
  </si>
  <si>
    <t>Remboursement anticipé</t>
  </si>
  <si>
    <t>Taux Assurance</t>
  </si>
  <si>
    <t>Taux Assurance mensuel</t>
  </si>
  <si>
    <t>Coût assurance</t>
  </si>
  <si>
    <t>Assurance après-différé</t>
  </si>
  <si>
    <t>Deuxième paiement M1</t>
  </si>
  <si>
    <t>Solde</t>
  </si>
  <si>
    <t>Total mensuel</t>
  </si>
  <si>
    <t>Intérêts</t>
  </si>
  <si>
    <t>Coût total crédit</t>
  </si>
  <si>
    <t>Assurance différé</t>
  </si>
  <si>
    <t>Bénéf placements</t>
  </si>
  <si>
    <t>Remboursement Technic</t>
  </si>
  <si>
    <t>Taux réel</t>
  </si>
  <si>
    <t>ETF Obligataire à maturité fixe</t>
  </si>
  <si>
    <t>Rendement visé</t>
  </si>
  <si>
    <t>Support</t>
  </si>
  <si>
    <t>Titre</t>
  </si>
  <si>
    <t>Montant</t>
  </si>
  <si>
    <t>P/L</t>
  </si>
  <si>
    <t>Cible</t>
  </si>
  <si>
    <t>iShares iBonds Dec 2028 Term € Corp UCITS ETF</t>
  </si>
  <si>
    <t>CTO - Saxo</t>
  </si>
  <si>
    <t>Ticker</t>
  </si>
  <si>
    <t>B28A</t>
  </si>
  <si>
    <t>Durée (années)</t>
  </si>
  <si>
    <t>ETC Or</t>
  </si>
  <si>
    <t>Amundi Physical Gold ETC</t>
  </si>
  <si>
    <t>GOLD</t>
  </si>
  <si>
    <t>Actif</t>
  </si>
  <si>
    <t>Actions</t>
  </si>
  <si>
    <t>CTO - IBKR</t>
  </si>
  <si>
    <t>Obligataire fixe</t>
  </si>
  <si>
    <t>Fond EUR ou Gov Bonds</t>
  </si>
  <si>
    <t>Date</t>
  </si>
  <si>
    <t>Remboursement maman</t>
  </si>
  <si>
    <t>NVDA</t>
  </si>
  <si>
    <t>Nvidia + TSMC + ADV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</si>
</sst>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* #,##0.00_)\ &quot;€&quot;_ ;_ * \(#,##0.00\)\ &quot;€&quot;_ ;_ * &quot;-&quot;??_)\ &quot;€&quot;_ ;_ @_ "/>
    <numFmt numFmtId="164" formatCode="0.0000"/>
    <numFmt numFmtId="165" formatCode="0.00000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44" fontId="0" fillId="0" borderId="0" xfId="1" applyFont="1"/>
    <xf numFmtId="17" fontId="0" fillId="0" borderId="0" xfId="0" applyNumberFormat="1"/>
    <xf numFmtId="0" fontId="2" fillId="0" borderId="0" xfId="0" quotePrefix="1" applyFont="1"/>
    <xf numFmtId="0" fontId="0" fillId="2" borderId="0" xfId="0" applyFill="1"/>
    <xf numFmtId="10" fontId="0" fillId="3" borderId="0" xfId="0" applyNumberFormat="1" applyFill="1"/>
    <xf numFmtId="44" fontId="0" fillId="3" borderId="0" xfId="0" applyNumberFormat="1" applyFill="1"/>
    <xf numFmtId="164" fontId="0" fillId="3" borderId="0" xfId="2" applyNumberFormat="1" applyFont="1" applyFill="1"/>
    <xf numFmtId="165" fontId="0" fillId="3" borderId="0" xfId="0" applyNumberFormat="1" applyFill="1"/>
    <xf numFmtId="1" fontId="0" fillId="3" borderId="0" xfId="0" applyNumberFormat="1" applyFill="1"/>
    <xf numFmtId="44" fontId="0" fillId="4" borderId="0" xfId="0" applyNumberFormat="1" applyFill="1"/>
    <xf numFmtId="44" fontId="0" fillId="3" borderId="0" xfId="1" applyFont="1" applyFill="1"/>
    <xf numFmtId="44" fontId="0" fillId="0" borderId="0" xfId="0" applyNumberFormat="1"/>
    <xf numFmtId="44" fontId="0" fillId="5" borderId="0" xfId="1" applyFont="1" applyFill="1"/>
    <xf numFmtId="14" fontId="0" fillId="0" borderId="0" xfId="0" applyNumberFormat="1"/>
    <xf numFmtId="44" fontId="0" fillId="5" borderId="1" xfId="1" applyFont="1" applyFill="1" applyBorder="1"/>
    <xf numFmtId="10" fontId="0" fillId="3" borderId="0" xfId="2" applyNumberFormat="1" applyFont="1" applyFill="1"/>
    <xf numFmtId="0" fontId="0" fillId="0" borderId="4" xfId="0" applyBorder="1"/>
    <xf numFmtId="44" fontId="0" fillId="0" borderId="4" xfId="1" applyFont="1" applyBorder="1"/>
    <xf numFmtId="17" fontId="0" fillId="0" borderId="4" xfId="0" applyNumberFormat="1" applyBorder="1"/>
    <xf numFmtId="9" fontId="0" fillId="0" borderId="4" xfId="2" applyFont="1" applyBorder="1"/>
    <xf numFmtId="9" fontId="0" fillId="0" borderId="5" xfId="2" applyFont="1" applyBorder="1"/>
    <xf numFmtId="10" fontId="0" fillId="3" borderId="1" xfId="0" applyNumberFormat="1" applyFill="1" applyBorder="1"/>
    <xf numFmtId="44" fontId="0" fillId="0" borderId="5" xfId="1" applyFont="1" applyBorder="1"/>
    <xf numFmtId="44" fontId="0" fillId="4" borderId="2" xfId="0" applyNumberFormat="1" applyFill="1" applyBorder="1"/>
    <xf numFmtId="44" fontId="0" fillId="4" borderId="3" xfId="0" applyNumberFormat="1" applyFill="1" applyBorder="1"/>
    <xf numFmtId="10" fontId="0" fillId="0" borderId="0" xfId="2" applyNumberFormat="1" applyFont="1"/>
    <xf numFmtId="44" fontId="0" fillId="6" borderId="0" xfId="1" applyFont="1" applyFill="1"/>
    <xf numFmtId="0" fontId="0" fillId="4" borderId="4" xfId="0" applyFill="1" applyBorder="1"/>
    <xf numFmtId="0" fontId="0" fillId="7" borderId="4" xfId="0" applyFill="1" applyBorder="1"/>
    <xf numFmtId="0" fontId="0" fillId="8" borderId="4" xfId="0" applyFill="1" applyBorder="1"/>
    <xf numFmtId="10" fontId="0" fillId="0" borderId="4" xfId="2" applyNumberFormat="1" applyFont="1" applyBorder="1"/>
  </cellXfs>
  <cellStyles count="3">
    <cellStyle name="Monétaire" xfId="1" builtinId="4"/>
    <cellStyle name="Normal" xfId="0" builtinId="0"/>
    <cellStyle name="Pourcentage" xfId="2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Placements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Feuil1!$P$12</c:f>
              <c:strCache>
                <c:ptCount val="1"/>
                <c:pt idx="0">
                  <c:v>Montant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Feuil1!$J$13:$J$16</c:f>
              <c:strCache>
                <c:ptCount val="4"/>
                <c:pt idx="0">
                  <c:v>ETF Obligataire à maturité fixe</c:v>
                </c:pt>
                <c:pt idx="1">
                  <c:v>ETC Or</c:v>
                </c:pt>
                <c:pt idx="2">
                  <c:v>Actions</c:v>
                </c:pt>
                <c:pt idx="3">
                  <c:v>Obligataire fixe</c:v>
                </c:pt>
              </c:strCache>
            </c:strRef>
          </c:cat>
          <c:val>
            <c:numRef>
              <c:f>Feuil1!$P$13:$P$16</c:f>
              <c:numCache>
                <c:formatCode>_("€"* #,##0.00_);_("€"* \(#,##0.00\);_("€"* "-"??_);_(@_)</c:formatCode>
                <c:ptCount val="4"/>
                <c:pt idx="0">
                  <c:v>20000</c:v>
                </c:pt>
                <c:pt idx="1">
                  <c:v>14000</c:v>
                </c:pt>
                <c:pt idx="2">
                  <c:v>30000</c:v>
                </c:pt>
                <c:pt idx="3">
                  <c:v>48253.151199999993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4B-3E49-BAA3-A406FA2808E3}"/>
            </c:ext>
          </c:extLst>
        </c:ser>
        <c:ser>
          <c:idx val="1"/>
          <c:order val="1"/>
          <c:tx>
            <c:strRef>
              <c:f>Feuil1!$R$12</c:f>
              <c:strCache>
                <c:ptCount val="1"/>
                <c:pt idx="0">
                  <c:v> P/L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Feuil1!$J$13:$J$16</c:f>
              <c:strCache>
                <c:ptCount val="4"/>
                <c:pt idx="0">
                  <c:v>ETF Obligataire à maturité fixe</c:v>
                </c:pt>
                <c:pt idx="1">
                  <c:v>ETC Or</c:v>
                </c:pt>
                <c:pt idx="2">
                  <c:v>Actions</c:v>
                </c:pt>
                <c:pt idx="3">
                  <c:v>Obligataire fixe</c:v>
                </c:pt>
              </c:strCache>
            </c:strRef>
          </c:cat>
          <c:val>
            <c:numRef>
              <c:f>Feuil1!$R$13:$R$16</c:f>
              <c:numCache>
                <c:formatCode>_("€"* #,##0.00_);_("€"* \(#,##0.00\);_("€"* "-"??_);_(@_)</c:formatCode>
                <c:ptCount val="4"/>
                <c:pt idx="0">
                  <c:v>1078.1511999999966</c:v>
                </c:pt>
                <c:pt idx="1">
                  <c:v>4514.9999999999964</c:v>
                </c:pt>
                <c:pt idx="2">
                  <c:v>9674.9999999999927</c:v>
                </c:pt>
                <c:pt idx="3">
                  <c:v>1447.5945360000042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4B-3E49-BAA3-A406FA280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83404672"/>
        <c:axId val="1783410944"/>
      </c:barChart>
      <c:catAx>
        <c:axId val="178340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83410944"/>
        <c:crosses val="autoZero"/>
        <c:auto val="1"/>
        <c:lblAlgn val="ctr"/>
        <c:lblOffset val="100"/>
        <c:noMultiLvlLbl val="0"/>
      </c:catAx>
      <c:valAx>
        <c:axId val="178341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8340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Placements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Feuil1!$P$12</c:f>
              <c:strCache>
                <c:ptCount val="1"/>
                <c:pt idx="0">
                  <c:v>Montant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634-D54B-81F5-2C262B2FFA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032-604E-93C2-AF4CD9C417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032-604E-93C2-AF4CD9C417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Feuil1!$J$13:$N$15</c:f>
              <c:multiLvlStrCache>
                <c:ptCount val="3"/>
                <c:lvl>
                  <c:pt idx="0">
                    <c:v>CTO - Saxo</c:v>
                  </c:pt>
                  <c:pt idx="1">
                    <c:v>CTO - Saxo</c:v>
                  </c:pt>
                  <c:pt idx="2">
                    <c:v>CTO - IBKR</c:v>
                  </c:pt>
                </c:lvl>
                <c:lvl>
                  <c:pt idx="0">
                    <c:v>2</c:v>
                  </c:pt>
                  <c:pt idx="1">
                    <c:v>2</c:v>
                  </c:pt>
                  <c:pt idx="2">
                    <c:v>2</c:v>
                  </c:pt>
                </c:lvl>
                <c:lvl>
                  <c:pt idx="0">
                    <c:v>B28A</c:v>
                  </c:pt>
                  <c:pt idx="1">
                    <c:v>GOLD</c:v>
                  </c:pt>
                  <c:pt idx="2">
                    <c:v>NVDA</c:v>
                  </c:pt>
                </c:lvl>
                <c:lvl>
                  <c:pt idx="0">
                    <c:v>iShares iBonds Dec 2028 Term € Corp UCITS ETF</c:v>
                  </c:pt>
                  <c:pt idx="1">
                    <c:v>Amundi Physical Gold ETC</c:v>
                  </c:pt>
                  <c:pt idx="2">
                    <c:v>Nvidia + TSMC + ADV</c:v>
                  </c:pt>
                </c:lvl>
                <c:lvl>
                  <c:pt idx="0">
                    <c:v>ETF Obligataire à maturité fixe</c:v>
                  </c:pt>
                  <c:pt idx="1">
                    <c:v>ETC Or</c:v>
                  </c:pt>
                  <c:pt idx="2">
                    <c:v>Actions</c:v>
                  </c:pt>
                </c:lvl>
              </c:multiLvlStrCache>
            </c:multiLvlStrRef>
          </c:cat>
          <c:val>
            <c:numRef>
              <c:f>Feuil1!$P$13:$P$15</c:f>
              <c:numCache>
                <c:formatCode>_("€"* #,##0.00_);_("€"* \(#,##0.00\);_("€"* "-"??_);_(@_)</c:formatCode>
                <c:ptCount val="3"/>
                <c:pt idx="0">
                  <c:v>20000</c:v>
                </c:pt>
                <c:pt idx="1">
                  <c:v>14000</c:v>
                </c:pt>
                <c:pt idx="2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34-D54B-81F5-2C262B2FF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479245</xdr:colOff>
      <xdr:row>17</xdr:row>
      <xdr:rowOff>8467</xdr:rowOff>
    </xdr:from>
    <xdr:to>
      <xdr:col>12</xdr:col>
      <xdr:colOff>584200</xdr:colOff>
      <xdr:row>33</xdr:row>
      <xdr:rowOff>155755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560F8D6C-228B-3BC5-CDEC-7B9A1A2FC4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948905</xdr:colOff>
      <xdr:row>17</xdr:row>
      <xdr:rowOff>12220</xdr:rowOff>
    </xdr:from>
    <xdr:to>
      <xdr:col>19</xdr:col>
      <xdr:colOff>790753</xdr:colOff>
      <xdr:row>33</xdr:row>
      <xdr:rowOff>131791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3D67183-7FE7-97EB-BFB7-B218A530BC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968E4-6DFD-494D-93F0-ABACC51836E5}">
  <dimension ref="A3:T27"/>
  <sheetViews>
    <sheetView tabSelected="1" zoomScale="106" workbookViewId="0">
      <selection activeCell="O16" sqref="O16"/>
    </sheetView>
  </sheetViews>
  <sheetFormatPr baseColWidth="10" defaultRowHeight="16" x14ac:dyDescent="0.2"/>
  <cols>
    <col min="1" max="1" width="25.1640625" bestFit="1" customWidth="1"/>
    <col min="2" max="2" width="12.5" customWidth="1"/>
    <col min="3" max="3" width="13.83203125" bestFit="1" customWidth="1"/>
    <col min="4" max="4" width="10.83203125" customWidth="1"/>
    <col min="5" max="5" width="6" style="1" customWidth="1"/>
    <col min="6" max="6" width="15.6640625" style="1" customWidth="1"/>
    <col min="7" max="7" width="12.5" bestFit="1" customWidth="1"/>
    <col min="8" max="8" width="21" bestFit="1" customWidth="1"/>
    <col min="9" max="9" width="10.83203125" bestFit="1" customWidth="1"/>
    <col min="10" max="10" width="25.1640625" bestFit="1" customWidth="1"/>
    <col min="11" max="11" width="21.1640625" customWidth="1"/>
    <col min="12" max="12" width="6" bestFit="1" customWidth="1"/>
    <col min="13" max="13" width="13.5" bestFit="1" customWidth="1"/>
    <col min="14" max="14" width="9.83203125" bestFit="1" customWidth="1"/>
    <col min="15" max="15" width="13.83203125" bestFit="1" customWidth="1"/>
    <col min="16" max="17" width="12.1640625" bestFit="1" customWidth="1"/>
    <col min="18" max="18" width="11.83203125" customWidth="1"/>
    <col min="19" max="19" width="7.33203125" bestFit="1" customWidth="1"/>
    <col min="20" max="20" width="11.83203125" bestFit="1" customWidth="1"/>
  </cols>
  <sheetData>
    <row r="3" spans="1:20" x14ac:dyDescent="0.2">
      <c r="B3" s="1"/>
      <c r="C3" s="1" t="s">
        <v>18</v>
      </c>
      <c r="E3"/>
      <c r="F3" s="4" t="s">
        <v>3</v>
      </c>
      <c r="G3" s="5">
        <f>T15</f>
        <v>0.11290829024677485</v>
      </c>
    </row>
    <row r="4" spans="1:20" x14ac:dyDescent="0.2">
      <c r="A4" t="s">
        <v>0</v>
      </c>
      <c r="B4" s="1"/>
      <c r="C4" s="1">
        <v>75000</v>
      </c>
      <c r="D4" s="2">
        <v>45931</v>
      </c>
      <c r="E4"/>
      <c r="F4"/>
      <c r="H4" s="4" t="s">
        <v>22</v>
      </c>
      <c r="I4" s="11">
        <v>11.5</v>
      </c>
      <c r="J4" s="11">
        <f>I4*36</f>
        <v>414</v>
      </c>
    </row>
    <row r="5" spans="1:20" x14ac:dyDescent="0.2">
      <c r="A5" t="s">
        <v>47</v>
      </c>
      <c r="B5" s="1">
        <v>-10000</v>
      </c>
      <c r="C5" s="1">
        <f>C4+B5</f>
        <v>65000</v>
      </c>
      <c r="E5"/>
      <c r="F5" s="4" t="s">
        <v>8</v>
      </c>
      <c r="G5" s="7">
        <v>9.9000000000000008E-3</v>
      </c>
      <c r="H5" s="4" t="s">
        <v>13</v>
      </c>
      <c r="I5" s="7">
        <v>4.7999999999999996E-3</v>
      </c>
    </row>
    <row r="6" spans="1:20" x14ac:dyDescent="0.2">
      <c r="A6" t="s">
        <v>24</v>
      </c>
      <c r="B6" s="1">
        <v>-800</v>
      </c>
      <c r="C6" s="1">
        <f>C5+B6</f>
        <v>64200</v>
      </c>
      <c r="F6" s="4" t="s">
        <v>9</v>
      </c>
      <c r="G6" s="8">
        <f>G5/12</f>
        <v>8.250000000000001E-4</v>
      </c>
      <c r="H6" s="4" t="s">
        <v>14</v>
      </c>
      <c r="I6" s="8">
        <f>I5/12</f>
        <v>3.9999999999999996E-4</v>
      </c>
    </row>
    <row r="7" spans="1:20" x14ac:dyDescent="0.2">
      <c r="A7" t="s">
        <v>2</v>
      </c>
      <c r="B7" s="1">
        <v>-500</v>
      </c>
      <c r="C7" s="1">
        <f>C6+B7</f>
        <v>63700</v>
      </c>
      <c r="E7"/>
      <c r="F7" s="4" t="s">
        <v>25</v>
      </c>
      <c r="G7" s="16">
        <f>G9/(B20*G8)</f>
        <v>4.2321567454473345E-2</v>
      </c>
      <c r="H7" s="4" t="s">
        <v>15</v>
      </c>
      <c r="I7" s="11">
        <f>B19*G8+J4</f>
        <v>874.61595750821323</v>
      </c>
    </row>
    <row r="8" spans="1:20" x14ac:dyDescent="0.2">
      <c r="A8" t="s">
        <v>3</v>
      </c>
      <c r="B8" s="1">
        <f>C8-C7</f>
        <v>7192.2580887195509</v>
      </c>
      <c r="C8" s="1">
        <f>C7*(1+T15)</f>
        <v>70892.258088719551</v>
      </c>
      <c r="E8" s="3" t="s">
        <v>4</v>
      </c>
      <c r="F8" s="4" t="s">
        <v>7</v>
      </c>
      <c r="G8" s="9">
        <f>9*12</f>
        <v>108</v>
      </c>
      <c r="H8" s="4" t="s">
        <v>21</v>
      </c>
      <c r="I8" s="27">
        <f>I7+G9+J4</f>
        <v>1937.226498509734</v>
      </c>
    </row>
    <row r="9" spans="1:20" x14ac:dyDescent="0.2">
      <c r="A9" t="s">
        <v>17</v>
      </c>
      <c r="B9" s="1">
        <v>-1492.5</v>
      </c>
      <c r="C9" s="1">
        <f>C8+B9</f>
        <v>69399.758088719551</v>
      </c>
      <c r="D9" s="14">
        <v>46280</v>
      </c>
      <c r="E9" s="3"/>
      <c r="F9" s="4" t="s">
        <v>20</v>
      </c>
      <c r="G9" s="11">
        <f>B18*G8-B17</f>
        <v>648.61054100152069</v>
      </c>
    </row>
    <row r="10" spans="1:20" x14ac:dyDescent="0.2">
      <c r="A10" t="s">
        <v>3</v>
      </c>
      <c r="B10" s="1">
        <f>C9*(1+T15)-C9</f>
        <v>7835.8080293371022</v>
      </c>
      <c r="C10" s="1">
        <f>C9+B10</f>
        <v>77235.566118056653</v>
      </c>
      <c r="E10" s="3" t="s">
        <v>4</v>
      </c>
      <c r="F10"/>
    </row>
    <row r="11" spans="1:20" x14ac:dyDescent="0.2">
      <c r="A11" t="s">
        <v>1</v>
      </c>
      <c r="B11" s="1">
        <v>-18222.5</v>
      </c>
      <c r="C11" s="1">
        <f>C10+B11</f>
        <v>59013.066118056653</v>
      </c>
      <c r="D11" s="14">
        <v>46645</v>
      </c>
      <c r="E11"/>
      <c r="F11" s="4" t="s">
        <v>10</v>
      </c>
      <c r="G11" s="6">
        <f>B11+B9+B5+B13</f>
        <v>-29715</v>
      </c>
    </row>
    <row r="12" spans="1:20" x14ac:dyDescent="0.2">
      <c r="A12" t="s">
        <v>3</v>
      </c>
      <c r="B12" s="1">
        <f>C12-C11</f>
        <v>1770.3919835417037</v>
      </c>
      <c r="C12" s="1">
        <f>C11*(1+O16)</f>
        <v>60783.458101598357</v>
      </c>
      <c r="E12" s="3" t="s">
        <v>4</v>
      </c>
      <c r="F12" s="4" t="s">
        <v>23</v>
      </c>
      <c r="G12" s="10">
        <f>B12+B8+B10</f>
        <v>16798.458101598357</v>
      </c>
      <c r="J12" s="17" t="s">
        <v>41</v>
      </c>
      <c r="K12" s="17" t="s">
        <v>29</v>
      </c>
      <c r="L12" s="17" t="s">
        <v>35</v>
      </c>
      <c r="M12" s="17" t="s">
        <v>37</v>
      </c>
      <c r="N12" s="17" t="s">
        <v>28</v>
      </c>
      <c r="O12" s="17" t="s">
        <v>27</v>
      </c>
      <c r="P12" s="17" t="s">
        <v>30</v>
      </c>
      <c r="Q12" s="18" t="s">
        <v>32</v>
      </c>
      <c r="R12" s="18" t="s">
        <v>31</v>
      </c>
      <c r="S12" s="17" t="s">
        <v>46</v>
      </c>
    </row>
    <row r="13" spans="1:20" x14ac:dyDescent="0.2">
      <c r="A13" t="s">
        <v>47</v>
      </c>
      <c r="B13" s="1"/>
      <c r="C13" s="12">
        <f>C12+B13</f>
        <v>60783.458101598357</v>
      </c>
      <c r="E13"/>
      <c r="F13" s="4" t="s">
        <v>11</v>
      </c>
      <c r="G13" s="10">
        <f>G12*0.828</f>
        <v>13909.123308123439</v>
      </c>
      <c r="J13" s="30" t="s">
        <v>26</v>
      </c>
      <c r="K13" s="17" t="s">
        <v>33</v>
      </c>
      <c r="L13" s="17" t="s">
        <v>36</v>
      </c>
      <c r="M13" s="17">
        <v>2</v>
      </c>
      <c r="N13" s="17" t="s">
        <v>34</v>
      </c>
      <c r="O13" s="31">
        <v>2.6599999999999999E-2</v>
      </c>
      <c r="P13" s="18">
        <v>20000</v>
      </c>
      <c r="Q13" s="18">
        <f>P13*(1+O13)^M13</f>
        <v>21078.151199999997</v>
      </c>
      <c r="R13" s="18">
        <f>Q13-P13</f>
        <v>1078.1511999999966</v>
      </c>
      <c r="S13" s="19">
        <v>45961</v>
      </c>
    </row>
    <row r="14" spans="1:20" ht="17" thickBot="1" x14ac:dyDescent="0.25">
      <c r="A14" t="s">
        <v>5</v>
      </c>
      <c r="B14" s="1"/>
      <c r="C14" s="1">
        <f>C13</f>
        <v>60783.458101598357</v>
      </c>
      <c r="E14"/>
      <c r="F14"/>
      <c r="J14" s="29" t="s">
        <v>38</v>
      </c>
      <c r="K14" s="17" t="s">
        <v>39</v>
      </c>
      <c r="L14" s="17" t="s">
        <v>40</v>
      </c>
      <c r="M14" s="17">
        <v>2</v>
      </c>
      <c r="N14" s="17" t="s">
        <v>34</v>
      </c>
      <c r="O14" s="20">
        <v>0.15</v>
      </c>
      <c r="P14" s="18">
        <v>14000</v>
      </c>
      <c r="Q14" s="18">
        <f>P14*(1+O14)^M14</f>
        <v>18514.999999999996</v>
      </c>
      <c r="R14" s="18">
        <f>Q14-P14</f>
        <v>4514.9999999999964</v>
      </c>
      <c r="S14" s="19">
        <v>45961</v>
      </c>
    </row>
    <row r="15" spans="1:20" ht="17" thickBot="1" x14ac:dyDescent="0.25">
      <c r="A15" t="s">
        <v>12</v>
      </c>
      <c r="B15" s="1">
        <v>-75000</v>
      </c>
      <c r="C15" s="1">
        <f>C14+B15</f>
        <v>-14216.541898401643</v>
      </c>
      <c r="D15" s="14">
        <v>47047</v>
      </c>
      <c r="E15"/>
      <c r="F15"/>
      <c r="J15" s="28" t="s">
        <v>42</v>
      </c>
      <c r="K15" s="17" t="s">
        <v>49</v>
      </c>
      <c r="L15" s="17" t="s">
        <v>48</v>
      </c>
      <c r="M15" s="17">
        <v>2</v>
      </c>
      <c r="N15" s="17" t="s">
        <v>43</v>
      </c>
      <c r="O15" s="20">
        <v>0.15</v>
      </c>
      <c r="P15" s="18">
        <v>30000</v>
      </c>
      <c r="Q15" s="18">
        <f>P15*(1+O15)^M15</f>
        <v>39674.999999999993</v>
      </c>
      <c r="R15" s="18">
        <f t="shared" ref="R15:R16" si="0">Q15-P15</f>
        <v>9674.9999999999927</v>
      </c>
      <c r="S15" s="19">
        <v>45961</v>
      </c>
      <c r="T15" s="22">
        <f>(((Q13+Q14+Q15)/(P13+P14+P15))^0.5)-1</f>
        <v>0.11290829024677485</v>
      </c>
    </row>
    <row r="16" spans="1:20" ht="17" thickBot="1" x14ac:dyDescent="0.25">
      <c r="B16" s="1"/>
      <c r="C16" s="1"/>
      <c r="E16"/>
      <c r="F16" s="12"/>
      <c r="J16" s="17" t="s">
        <v>44</v>
      </c>
      <c r="K16" s="17" t="s">
        <v>45</v>
      </c>
      <c r="L16" s="17"/>
      <c r="M16" s="17">
        <v>1</v>
      </c>
      <c r="N16" s="17" t="s">
        <v>34</v>
      </c>
      <c r="O16" s="21">
        <v>0.03</v>
      </c>
      <c r="P16" s="18">
        <f>SUM(Q13:Q15)+B11+B9+B7+B6+B5+B13</f>
        <v>48253.151199999993</v>
      </c>
      <c r="Q16" s="23">
        <f>P16*(1+O16)^M16</f>
        <v>49700.745735999997</v>
      </c>
      <c r="R16" s="23">
        <f t="shared" si="0"/>
        <v>1447.5945360000042</v>
      </c>
      <c r="S16" s="19">
        <v>46645</v>
      </c>
    </row>
    <row r="17" spans="1:18" ht="17" thickBot="1" x14ac:dyDescent="0.25">
      <c r="A17" t="s">
        <v>6</v>
      </c>
      <c r="B17" s="13">
        <f>0-C15</f>
        <v>14216.541898401643</v>
      </c>
      <c r="C17" s="1"/>
      <c r="O17" s="22"/>
      <c r="P17" s="1"/>
      <c r="Q17" s="24">
        <f>Q13-P13+Q14-P14+Q15-P15+Q16-P16</f>
        <v>16715.74573599999</v>
      </c>
      <c r="R17" s="25"/>
    </row>
    <row r="18" spans="1:18" x14ac:dyDescent="0.2">
      <c r="A18" t="s">
        <v>7</v>
      </c>
      <c r="B18" s="13">
        <f>B17*(G6*(1+G6)^G8)/((1+G6)^G8-1)</f>
        <v>137.64030036484411</v>
      </c>
      <c r="C18" s="1"/>
    </row>
    <row r="19" spans="1:18" ht="17" thickBot="1" x14ac:dyDescent="0.25">
      <c r="A19" t="s">
        <v>16</v>
      </c>
      <c r="B19" s="13">
        <f>22.5*(B17/C4)</f>
        <v>4.2649625695204927</v>
      </c>
      <c r="C19" s="1"/>
      <c r="E19"/>
      <c r="F19"/>
      <c r="G19" s="26"/>
    </row>
    <row r="20" spans="1:18" ht="17" thickBot="1" x14ac:dyDescent="0.25">
      <c r="A20" t="s">
        <v>19</v>
      </c>
      <c r="B20" s="15">
        <f>B19+B18</f>
        <v>141.9052629343646</v>
      </c>
      <c r="C20" s="1"/>
    </row>
    <row r="27" spans="1:18" x14ac:dyDescent="0.2">
      <c r="E27"/>
    </row>
  </sheetData>
  <phoneticPr fontId="3" type="noConversion"/>
  <conditionalFormatting sqref="E1:E2 B3:B13 C14 B15:C15 E20:E24 E28:E1048576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860db96-b53f-4bd7-8137-e09357cab268}" enabled="1" method="Standard" siteId="{b78d03e6-f6a2-4cff-83be-847d1a6453f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MASSANOU Ilyes</dc:creator>
  <cp:lastModifiedBy>Ilyes Massanou</cp:lastModifiedBy>
  <dcterms:created xsi:type="dcterms:W3CDTF">2025-10-21T14:32:28Z</dcterms:created>
  <dcterms:modified xsi:type="dcterms:W3CDTF">2026-01-21T09:43:15Z</dcterms:modified>
</cp:coreProperties>
</file>